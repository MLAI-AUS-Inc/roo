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" sheetId="1" state="visible" r:id="rId1"/>
    <sheet xmlns:r="http://schemas.openxmlformats.org/officeDocument/2006/relationships" name="Payout summary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2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6" customWidth="1" min="10" max="10"/>
    <col width="11" customWidth="1" min="11" max="11"/>
    <col width="14" customWidth="1" min="12" max="12"/>
  </cols>
  <sheetData>
    <row r="1">
      <c r="A1" s="1" t="inlineStr">
        <is>
          <t>Date bought (UTC)</t>
        </is>
      </c>
      <c r="B1" s="1" t="inlineStr">
        <is>
          <t>Event</t>
        </is>
      </c>
      <c r="C1" s="1" t="inlineStr">
        <is>
          <t>Ticket type</t>
        </is>
      </c>
      <c r="D1" s="1" t="inlineStr">
        <is>
          <t>Buyer</t>
        </is>
      </c>
      <c r="E1" s="1" t="inlineStr">
        <is>
          <t>Gross</t>
        </is>
      </c>
      <c r="F1" s="1" t="inlineStr">
        <is>
          <t>Luma fee</t>
        </is>
      </c>
      <c r="G1" s="1" t="inlineStr">
        <is>
          <t>Stripe fee</t>
        </is>
      </c>
      <c r="H1" s="1" t="inlineStr">
        <is>
          <t>Net</t>
        </is>
      </c>
      <c r="I1" s="1" t="inlineStr">
        <is>
          <t>Ccy</t>
        </is>
      </c>
      <c r="J1" s="1" t="inlineStr">
        <is>
          <t>Stripe charge</t>
        </is>
      </c>
      <c r="K1" s="1" t="inlineStr">
        <is>
          <t>Payout</t>
        </is>
      </c>
      <c r="L1" s="1" t="inlineStr">
        <is>
          <t>Payout date</t>
        </is>
      </c>
    </row>
    <row r="2">
      <c r="A2" t="inlineStr">
        <is>
          <t>2026-06-03T09:12:00+00:00</t>
        </is>
      </c>
      <c r="B2" t="inlineStr">
        <is>
          <t>MLAI Workshop — June</t>
        </is>
      </c>
      <c r="C2" t="inlineStr">
        <is>
          <t>General</t>
        </is>
      </c>
      <c r="D2" t="inlineStr">
        <is>
          <t>alice@example.com</t>
        </is>
      </c>
      <c r="E2" s="2" t="n">
        <v>50</v>
      </c>
      <c r="F2" s="2" t="n">
        <v>1</v>
      </c>
      <c r="G2" s="2" t="n">
        <v>1.15</v>
      </c>
      <c r="H2" s="2" t="n">
        <v>47.85</v>
      </c>
      <c r="I2" t="inlineStr">
        <is>
          <t>AUD</t>
        </is>
      </c>
      <c r="J2" t="inlineStr">
        <is>
          <t>ch_3Na001</t>
        </is>
      </c>
      <c r="K2" t="inlineStr">
        <is>
          <t>po_06051</t>
        </is>
      </c>
      <c r="L2" t="inlineStr">
        <is>
          <t>2026-06-05</t>
        </is>
      </c>
    </row>
    <row r="3">
      <c r="A3" t="inlineStr">
        <is>
          <t>2026-06-03T14:40:00+00:00</t>
        </is>
      </c>
      <c r="B3" t="inlineStr">
        <is>
          <t>MLAI Workshop — June</t>
        </is>
      </c>
      <c r="C3" t="inlineStr">
        <is>
          <t>General</t>
        </is>
      </c>
      <c r="D3" t="inlineStr">
        <is>
          <t>bob@example.com</t>
        </is>
      </c>
      <c r="E3" s="2" t="n">
        <v>50</v>
      </c>
      <c r="F3" s="2" t="n">
        <v>1</v>
      </c>
      <c r="G3" s="2" t="n">
        <v>1.15</v>
      </c>
      <c r="H3" s="2" t="n">
        <v>47.85</v>
      </c>
      <c r="I3" t="inlineStr">
        <is>
          <t>AUD</t>
        </is>
      </c>
      <c r="J3" t="inlineStr">
        <is>
          <t>ch_3Na002</t>
        </is>
      </c>
      <c r="K3" t="inlineStr">
        <is>
          <t>po_06051</t>
        </is>
      </c>
      <c r="L3" t="inlineStr">
        <is>
          <t>2026-06-05</t>
        </is>
      </c>
    </row>
    <row r="4">
      <c r="A4" t="inlineStr">
        <is>
          <t>2026-06-04T19:05:00+00:00</t>
        </is>
      </c>
      <c r="B4" t="inlineStr">
        <is>
          <t>MLAI Workshop — June</t>
        </is>
      </c>
      <c r="C4" t="inlineStr">
        <is>
          <t>VIP</t>
        </is>
      </c>
      <c r="D4" t="inlineStr">
        <is>
          <t>carol@example.com</t>
        </is>
      </c>
      <c r="E4" s="2" t="n">
        <v>120</v>
      </c>
      <c r="F4" s="2" t="n">
        <v>2.4</v>
      </c>
      <c r="G4" s="2" t="n">
        <v>2.34</v>
      </c>
      <c r="H4" s="2" t="n">
        <v>115.26</v>
      </c>
      <c r="I4" t="inlineStr">
        <is>
          <t>AUD</t>
        </is>
      </c>
      <c r="J4" t="inlineStr">
        <is>
          <t>ch_3Na003</t>
        </is>
      </c>
      <c r="K4" t="inlineStr">
        <is>
          <t>po_06051</t>
        </is>
      </c>
      <c r="L4" t="inlineStr">
        <is>
          <t>2026-06-05</t>
        </is>
      </c>
    </row>
    <row r="5">
      <c r="A5" t="inlineStr">
        <is>
          <t>2026-06-10T11:00:00+00:00</t>
        </is>
      </c>
      <c r="B5" t="inlineStr">
        <is>
          <t>MLAI Studio Mixer</t>
        </is>
      </c>
      <c r="C5" t="inlineStr">
        <is>
          <t>Entry</t>
        </is>
      </c>
      <c r="D5" t="inlineStr">
        <is>
          <t>dan@example.com</t>
        </is>
      </c>
      <c r="E5" s="2" t="n">
        <v>30</v>
      </c>
      <c r="F5" s="2" t="n">
        <v>0.6</v>
      </c>
      <c r="G5" s="2" t="n">
        <v>0.8100000000000001</v>
      </c>
      <c r="H5" s="2" t="n">
        <v>28.59</v>
      </c>
      <c r="I5" t="inlineStr">
        <is>
          <t>AUD</t>
        </is>
      </c>
      <c r="J5" t="inlineStr">
        <is>
          <t>ch_3Na004</t>
        </is>
      </c>
      <c r="K5" t="inlineStr">
        <is>
          <t>po_06121</t>
        </is>
      </c>
      <c r="L5" t="inlineStr">
        <is>
          <t>2026-06-12</t>
        </is>
      </c>
    </row>
    <row r="6">
      <c r="A6" t="inlineStr">
        <is>
          <t>2026-06-11T16:22:00+00:00</t>
        </is>
      </c>
      <c r="B6" t="inlineStr">
        <is>
          <t>MLAI Studio Mixer</t>
        </is>
      </c>
      <c r="C6" t="inlineStr">
        <is>
          <t>Entry</t>
        </is>
      </c>
      <c r="D6" t="inlineStr">
        <is>
          <t>erin@example.com</t>
        </is>
      </c>
      <c r="E6" s="2" t="n">
        <v>30</v>
      </c>
      <c r="F6" s="2" t="n">
        <v>0.6</v>
      </c>
      <c r="G6" s="2" t="n">
        <v>0.8100000000000001</v>
      </c>
      <c r="H6" s="2" t="n">
        <v>28.59</v>
      </c>
      <c r="I6" t="inlineStr">
        <is>
          <t>AUD</t>
        </is>
      </c>
      <c r="J6" t="inlineStr">
        <is>
          <t>ch_3Na005</t>
        </is>
      </c>
      <c r="K6" t="inlineStr">
        <is>
          <t>po_06121</t>
        </is>
      </c>
      <c r="L6" t="inlineStr">
        <is>
          <t>2026-06-12</t>
        </is>
      </c>
    </row>
    <row r="7">
      <c r="A7" t="inlineStr">
        <is>
          <t>2026-06-11T16:25:00+00:00</t>
        </is>
      </c>
      <c r="B7" t="inlineStr">
        <is>
          <t>MLAI Studio Mixer</t>
        </is>
      </c>
      <c r="C7" t="inlineStr">
        <is>
          <t>Entry+Drink</t>
        </is>
      </c>
      <c r="D7" t="inlineStr">
        <is>
          <t>frank@example.com</t>
        </is>
      </c>
      <c r="E7" s="2" t="n">
        <v>45</v>
      </c>
      <c r="F7" s="2" t="n">
        <v>0.9</v>
      </c>
      <c r="G7" s="2" t="n">
        <v>1.07</v>
      </c>
      <c r="H7" s="2" t="n">
        <v>43.03</v>
      </c>
      <c r="I7" t="inlineStr">
        <is>
          <t>AUD</t>
        </is>
      </c>
      <c r="J7" t="inlineStr">
        <is>
          <t>ch_3Na006</t>
        </is>
      </c>
      <c r="K7" t="inlineStr">
        <is>
          <t>po_06121</t>
        </is>
      </c>
      <c r="L7" t="inlineStr">
        <is>
          <t>2026-06-12</t>
        </is>
      </c>
    </row>
    <row r="8">
      <c r="A8" s="3" t="inlineStr">
        <is>
          <t>TOTAL</t>
        </is>
      </c>
      <c r="E8" s="4">
        <f>SUM(E2:E7)</f>
        <v/>
      </c>
      <c r="F8" s="4">
        <f>SUM(F2:F7)</f>
        <v/>
      </c>
      <c r="G8" s="4">
        <f>SUM(G2:G7)</f>
        <v/>
      </c>
      <c r="H8" s="4">
        <f>SUM(H2:H7)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1" customWidth="1" min="4" max="4"/>
    <col width="11" customWidth="1" min="5" max="5"/>
    <col width="13" customWidth="1" min="6" max="6"/>
    <col width="21" customWidth="1" min="7" max="7"/>
    <col width="23" customWidth="1" min="8" max="8"/>
  </cols>
  <sheetData>
    <row r="1">
      <c r="A1" s="1" t="inlineStr">
        <is>
          <t>Payout</t>
        </is>
      </c>
      <c r="B1" s="1" t="inlineStr">
        <is>
          <t>Arrival date</t>
        </is>
      </c>
      <c r="C1" s="1" t="inlineStr">
        <is>
          <t># Tickets</t>
        </is>
      </c>
      <c r="D1" s="1" t="inlineStr">
        <is>
          <t>Gross</t>
        </is>
      </c>
      <c r="E1" s="1" t="inlineStr">
        <is>
          <t>Luma fee</t>
        </is>
      </c>
      <c r="F1" s="1" t="inlineStr">
        <is>
          <t>Stripe fee</t>
        </is>
      </c>
      <c r="G1" s="1" t="inlineStr">
        <is>
          <t>Net (bank deposit)</t>
        </is>
      </c>
      <c r="H1" s="1" t="inlineStr">
        <is>
          <t>Events</t>
        </is>
      </c>
    </row>
    <row r="2">
      <c r="A2" t="inlineStr">
        <is>
          <t>po_06051</t>
        </is>
      </c>
      <c r="B2" t="inlineStr">
        <is>
          <t>2026-06-05</t>
        </is>
      </c>
      <c r="C2" t="n">
        <v>3</v>
      </c>
      <c r="D2" s="2" t="n">
        <v>220</v>
      </c>
      <c r="E2" s="2" t="n">
        <v>4.4</v>
      </c>
      <c r="F2" s="2" t="n">
        <v>4.64</v>
      </c>
      <c r="G2" s="2" t="n">
        <v>210.96</v>
      </c>
      <c r="H2" t="inlineStr">
        <is>
          <t>MLAI Workshop — June</t>
        </is>
      </c>
    </row>
    <row r="3">
      <c r="A3" t="inlineStr">
        <is>
          <t>po_06121</t>
        </is>
      </c>
      <c r="B3" t="inlineStr">
        <is>
          <t>2026-06-12</t>
        </is>
      </c>
      <c r="C3" t="n">
        <v>3</v>
      </c>
      <c r="D3" s="2" t="n">
        <v>105</v>
      </c>
      <c r="E3" s="2" t="n">
        <v>2.1</v>
      </c>
      <c r="F3" s="2" t="n">
        <v>2.69</v>
      </c>
      <c r="G3" s="2" t="n">
        <v>100.21</v>
      </c>
      <c r="H3" t="inlineStr">
        <is>
          <t>MLAI Studio Mixer</t>
        </is>
      </c>
    </row>
    <row r="4">
      <c r="A4" s="3" t="inlineStr">
        <is>
          <t>TOTAL</t>
        </is>
      </c>
      <c r="C4" s="3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MLAI — Luma → Stripe reconciliation worksheet</t>
        </is>
      </c>
    </row>
    <row r="2">
      <c r="A2" t="inlineStr"/>
    </row>
    <row r="3">
      <c r="A3" t="inlineStr">
        <is>
          <t>Sales detail : one row per Stripe charge, linked to its Luma sale and payout.</t>
        </is>
      </c>
    </row>
    <row r="4">
      <c r="A4" t="inlineStr">
        <is>
          <t>Payout summary: one row per Stripe payout = the lump sum that lands in your bank.</t>
        </is>
      </c>
    </row>
    <row r="5">
      <c r="A5" t="inlineStr"/>
    </row>
    <row r="6">
      <c r="A6" t="inlineStr">
        <is>
          <t>Reconcile in Xero against the 'Net (bank deposit)' column on Payout summary —</t>
        </is>
      </c>
    </row>
    <row r="7">
      <c r="A7" t="inlineStr">
        <is>
          <t>each payout matches one received line in your bank feed.</t>
        </is>
      </c>
    </row>
    <row r="8">
      <c r="A8" t="inlineStr"/>
    </row>
    <row r="9">
      <c r="A9" t="inlineStr">
        <is>
          <t>See the *_cowork_brief.md alongside this file for the per-payout Xero</t>
        </is>
      </c>
    </row>
    <row r="10">
      <c r="A10" t="inlineStr">
        <is>
          <t>'Create' fields (Who / What / Why / Event Name / Project Name / Tax Rate).</t>
        </is>
      </c>
    </row>
    <row r="11">
      <c r="A11" t="inlineStr"/>
    </row>
    <row r="12">
      <c r="A12" t="inlineStr">
        <is>
          <t>UNKNOWN (no Luma match) = a Stripe charge with no matching Luma sale found</t>
        </is>
      </c>
    </row>
    <row r="13">
      <c r="A13" t="inlineStr">
        <is>
          <t>(check email/amount, refunds, or pick the event manually).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2026-06-28T08:48:27Z</dcterms:created>
  <dcterms:modified xmlns:dcterms="http://purl.org/dc/terms/" xmlns:xsi="http://www.w3.org/2001/XMLSchema-instance" xsi:type="dcterms:W3CDTF">2026-06-28T08:48:27Z</dcterms:modified>
</cp:coreProperties>
</file>